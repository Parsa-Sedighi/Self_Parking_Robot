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sa\Desktop\Git_Repo's\Self_Parking_Robot\computer_vision\data\"/>
    </mc:Choice>
  </mc:AlternateContent>
  <xr:revisionPtr revIDLastSave="0" documentId="13_ncr:1_{806F7F95-9FCC-40FF-87F9-575F869F6F6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istance_Profil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L9" i="1"/>
  <c r="N9" i="1" s="1"/>
  <c r="M8" i="1"/>
  <c r="L8" i="1"/>
  <c r="N8" i="1" s="1"/>
  <c r="M7" i="1"/>
  <c r="L7" i="1"/>
  <c r="N7" i="1" s="1"/>
  <c r="M6" i="1"/>
  <c r="L6" i="1"/>
  <c r="N6" i="1" s="1"/>
  <c r="M5" i="1"/>
  <c r="L5" i="1"/>
  <c r="N5" i="1" s="1"/>
  <c r="M4" i="1"/>
  <c r="L4" i="1"/>
  <c r="N4" i="1" s="1"/>
</calcChain>
</file>

<file path=xl/sharedStrings.xml><?xml version="1.0" encoding="utf-8"?>
<sst xmlns="http://schemas.openxmlformats.org/spreadsheetml/2006/main" count="74" uniqueCount="28">
  <si>
    <t>DISTANCE &amp; SCALE INVARIANCE PROFILING LOG (Replace sample data with actual physical test results)</t>
  </si>
  <si>
    <t>Distance (inches)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</si>
  <si>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</si>
  <si>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</si>
  <si>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</si>
  <si>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</si>
  <si>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</si>
  <si>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</si>
  <si>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</si>
  <si>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</si>
  <si>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</si>
  <si>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</si>
  <si>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Average Confidence</t>
  </si>
  <si>
    <t>Min Confidence</t>
  </si>
  <si>
    <t>Actuation (Avg &gt; 80%)</t>
  </si>
  <si>
    <t>99.99/ 8 detected</t>
  </si>
  <si>
    <t>99.99/ 3 detected</t>
  </si>
  <si>
    <t>99.99/ 2 detected</t>
  </si>
  <si>
    <t>99.99/ 5 detected</t>
  </si>
  <si>
    <t>no detection</t>
  </si>
  <si>
    <t>99.99/ 4 detected angled</t>
  </si>
  <si>
    <t>99.99/ 8 detected angled</t>
  </si>
  <si>
    <t>99.99/ 7 detected</t>
  </si>
  <si>
    <t>Slant at 45 angles detected</t>
  </si>
  <si>
    <t>Target Digit Detected</t>
  </si>
  <si>
    <t>No detection</t>
  </si>
  <si>
    <t>8 detected</t>
  </si>
  <si>
    <t>2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</si>
</sst>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i/>
      <sz val="11"/>
      <color rgb="FF7F8C8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BFC"/>
        <bgColor rgb="FFF9FBFC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Distance Profiling: Scale Invariance &amp; System Confidence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Distance_Profiling_Data!$L$3</c:f>
              <c:strCache>
                <c:ptCount val="1"/>
                <c:pt idx="0">
                  <c:v>Average Confidence</c:v>
                </c:pt>
              </c:strCache>
            </c:strRef>
          </c:tx>
          <c:spPr>
            <a:ln w="30000">
              <a:solidFill>
                <a:srgbClr val="2980B9"/>
              </a:solidFill>
              <a:prstDash val="solid"/>
            </a:ln>
          </c:spPr>
          <c:marker>
            <c:symbol val="none"/>
          </c:marker>
          <c:cat>
            <c:numRef>
              <c:f>Distance_Profiling_Data!$A$4:$A$9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</c:numCache>
            </c:numRef>
          </c:cat>
          <c:val>
            <c:numRef>
              <c:f>Distance_Profiling_Data!$L$4:$L$9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FA-4F6A-8DA3-8E84A0E8B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to Target (Inches)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Confidence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10</xdr:row>
      <xdr:rowOff>161925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B1" workbookViewId="0">
      <selection activeCell="E10" sqref="E10"/>
    </sheetView>
  </sheetViews>
  <sheetFormatPr defaultRowHeight="15" x14ac:dyDescent="0.25"/>
  <cols>
    <col min="1" max="1" width="18" customWidth="1"/>
    <col min="2" max="11" width="12" customWidth="1"/>
    <col min="12" max="14" width="20" customWidth="1"/>
  </cols>
  <sheetData>
    <row r="1" spans="1:14" ht="24.95" customHeight="1" x14ac:dyDescent="0.2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B2" s="5" t="s">
        <v>24</v>
      </c>
      <c r="C2" s="6"/>
      <c r="D2" s="6"/>
      <c r="E2" s="6"/>
      <c r="F2" s="6"/>
      <c r="G2" s="6"/>
      <c r="H2" s="6"/>
      <c r="I2" s="6"/>
      <c r="J2" s="6"/>
      <c r="K2" s="6"/>
    </row>
    <row r="3" spans="1:14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2">
        <v>6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4" t="e">
        <f t="shared" ref="L4:L9" si="0">AVERAGE(B4:K4)</f>
        <v>#DIV/0!</v>
      </c>
      <c r="M4" s="4">
        <f t="shared" ref="M4:M9" si="1">MIN(B4:K4)</f>
        <v>0</v>
      </c>
      <c r="N4" s="2" t="e">
        <f t="shared" ref="N4:N9" si="2">IF(L4&gt;80, "PASS", "FAIL")</f>
        <v>#DIV/0!</v>
      </c>
    </row>
    <row r="5" spans="1:14" x14ac:dyDescent="0.25">
      <c r="A5" s="2">
        <v>12</v>
      </c>
      <c r="B5" s="3" t="s">
        <v>25</v>
      </c>
      <c r="C5" s="3" t="s">
        <v>26</v>
      </c>
      <c r="D5" s="3" t="s">
        <v>19</v>
      </c>
      <c r="E5" s="3" t="s">
        <v>16</v>
      </c>
      <c r="F5" s="8" t="s">
        <v>20</v>
      </c>
      <c r="G5" s="3" t="s">
        <v>18</v>
      </c>
      <c r="H5" s="3" t="s">
        <v>21</v>
      </c>
      <c r="I5" s="3" t="s">
        <v>17</v>
      </c>
      <c r="J5" s="3" t="s">
        <v>15</v>
      </c>
      <c r="K5" s="3" t="s">
        <v>15</v>
      </c>
      <c r="L5" s="4" t="e">
        <f t="shared" si="0"/>
        <v>#DIV/0!</v>
      </c>
      <c r="M5" s="4">
        <f t="shared" si="1"/>
        <v>0</v>
      </c>
      <c r="N5" s="2" t="e">
        <f t="shared" si="2"/>
        <v>#DIV/0!</v>
      </c>
    </row>
    <row r="6" spans="1:14" x14ac:dyDescent="0.25">
      <c r="A6" s="2">
        <v>24</v>
      </c>
      <c r="B6" s="3">
        <v>0</v>
      </c>
      <c r="C6" s="3" t="s">
        <v>26</v>
      </c>
      <c r="D6" s="3" t="s">
        <v>27</v>
      </c>
      <c r="E6" s="3" t="s">
        <v>16</v>
      </c>
      <c r="F6" s="3" t="s">
        <v>20</v>
      </c>
      <c r="G6" s="3" t="s">
        <v>18</v>
      </c>
      <c r="H6" s="3" t="s">
        <v>21</v>
      </c>
      <c r="I6" s="3" t="s">
        <v>17</v>
      </c>
      <c r="J6" s="3" t="s">
        <v>15</v>
      </c>
      <c r="K6" s="3" t="s">
        <v>15</v>
      </c>
      <c r="L6" s="4">
        <f t="shared" si="0"/>
        <v>0</v>
      </c>
      <c r="M6" s="4">
        <f t="shared" si="1"/>
        <v>0</v>
      </c>
      <c r="N6" s="2" t="str">
        <f t="shared" si="2"/>
        <v>FAIL</v>
      </c>
    </row>
    <row r="7" spans="1:14" x14ac:dyDescent="0.25">
      <c r="A7" s="2">
        <v>36</v>
      </c>
      <c r="B7" s="3">
        <v>0</v>
      </c>
      <c r="C7" s="3" t="s">
        <v>26</v>
      </c>
      <c r="D7" s="3" t="s">
        <v>27</v>
      </c>
      <c r="E7" s="3" t="s">
        <v>16</v>
      </c>
      <c r="F7" s="3" t="s">
        <v>20</v>
      </c>
      <c r="G7" s="3" t="s">
        <v>18</v>
      </c>
      <c r="H7" s="3" t="s">
        <v>21</v>
      </c>
      <c r="I7" s="3" t="s">
        <v>22</v>
      </c>
      <c r="J7" s="3" t="s">
        <v>15</v>
      </c>
      <c r="K7" s="3" t="s">
        <v>15</v>
      </c>
      <c r="L7" s="4">
        <f t="shared" si="0"/>
        <v>0</v>
      </c>
      <c r="M7" s="4">
        <f t="shared" si="1"/>
        <v>0</v>
      </c>
      <c r="N7" s="2" t="str">
        <f t="shared" si="2"/>
        <v>FAIL</v>
      </c>
    </row>
    <row r="8" spans="1:14" x14ac:dyDescent="0.25">
      <c r="A8" s="2">
        <v>48</v>
      </c>
      <c r="B8" s="3">
        <v>0</v>
      </c>
      <c r="C8" s="3" t="s">
        <v>26</v>
      </c>
      <c r="D8" s="3" t="s">
        <v>27</v>
      </c>
      <c r="E8" s="3" t="s">
        <v>16</v>
      </c>
      <c r="F8" s="3" t="s">
        <v>20</v>
      </c>
      <c r="G8" s="3" t="s">
        <v>18</v>
      </c>
      <c r="H8" s="3" t="s">
        <v>21</v>
      </c>
      <c r="I8" s="3" t="s">
        <v>22</v>
      </c>
      <c r="J8" s="3" t="s">
        <v>15</v>
      </c>
      <c r="K8" s="3" t="s">
        <v>15</v>
      </c>
      <c r="L8" s="4">
        <f t="shared" si="0"/>
        <v>0</v>
      </c>
      <c r="M8" s="4">
        <f t="shared" si="1"/>
        <v>0</v>
      </c>
      <c r="N8" s="2" t="str">
        <f t="shared" si="2"/>
        <v>FAIL</v>
      </c>
    </row>
    <row r="9" spans="1:14" x14ac:dyDescent="0.25">
      <c r="A9" s="2">
        <v>60</v>
      </c>
      <c r="B9" s="3">
        <v>0</v>
      </c>
      <c r="C9" s="3" t="s">
        <v>26</v>
      </c>
      <c r="D9" s="3" t="s">
        <v>16</v>
      </c>
      <c r="E9" s="3" t="s">
        <v>16</v>
      </c>
      <c r="F9" s="3" t="s">
        <v>20</v>
      </c>
      <c r="G9" s="3" t="s">
        <v>18</v>
      </c>
      <c r="H9" s="3" t="s">
        <v>21</v>
      </c>
      <c r="I9" s="3" t="s">
        <v>22</v>
      </c>
      <c r="J9" s="3" t="s">
        <v>15</v>
      </c>
      <c r="K9" s="3" t="s">
        <v>15</v>
      </c>
      <c r="L9" s="4">
        <f t="shared" si="0"/>
        <v>0</v>
      </c>
      <c r="M9" s="4">
        <f t="shared" si="1"/>
        <v>0</v>
      </c>
      <c r="N9" s="2" t="str">
        <f t="shared" si="2"/>
        <v>FAIL</v>
      </c>
    </row>
    <row r="10" spans="1:14" x14ac:dyDescent="0.25">
      <c r="H10" t="s">
        <v>23</v>
      </c>
      <c r="K10" s="8" t="s">
        <v>23</v>
      </c>
    </row>
  </sheetData>
  <mergeCells count="2">
    <mergeCell ref="B2:K2"/>
    <mergeCell ref="A1:N1"/>
  </mergeCells>
  <conditionalFormatting sqref="L4:L9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conditionalFormatting sqref="N4:N9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" footer="0.5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A35D8E15A2EE4B98CF233FE1CEFED3" ma:contentTypeVersion="4" ma:contentTypeDescription="Create a new document." ma:contentTypeScope="" ma:versionID="6a4e260f2011c6a23abe46e9742b15c1">
  <xsd:schema xmlns:xsd="http://www.w3.org/2001/XMLSchema" xmlns:xs="http://www.w3.org/2001/XMLSchema" xmlns:p="http://schemas.microsoft.com/office/2006/metadata/properties" xmlns:ns3="b98e4b8a-1618-425b-9d43-5171705c176c" targetNamespace="http://schemas.microsoft.com/office/2006/metadata/properties" ma:root="true" ma:fieldsID="a76897f6fdcce871b931ac1d057a51d0" ns3:_="">
    <xsd:import namespace="b98e4b8a-1618-425b-9d43-5171705c176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e4b8a-1618-425b-9d43-5171705c176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AB9D1D-CB4F-4986-AE3E-38774D7CA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e4b8a-1618-425b-9d43-5171705c1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86B372-86C7-4EDC-B150-603DAD53B5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933FAE-6D41-4D03-B083-DF60D003D058}">
  <ds:schemaRefs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b98e4b8a-1618-425b-9d43-5171705c1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Distance_Profiling_Data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Parsa Sedighi</cp:lastModifiedBy>
  <cp:lastPrinted>2026-05-16T00:39:50Z</cp:lastPrinted>
  <dcterms:created xsi:type="dcterms:W3CDTF">2026-05-15T21:16:40Z</dcterms:created>
  <dcterms:modified xsi:type="dcterms:W3CDTF">2026-05-16T06:36:49Z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0x0101001FA35D8E15A2EE4B98CF233FE1CEFED3</vt:lpwstr>
  </property>
</Properties>
</file>